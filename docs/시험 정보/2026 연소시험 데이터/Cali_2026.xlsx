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a24c6e0cf7200fd/Desktop/StaRbuSt-Simulatrion(MATLAB)/2026 연소시험 데이터/"/>
    </mc:Choice>
  </mc:AlternateContent>
  <xr:revisionPtr revIDLastSave="0" documentId="11_25883C3F9D2FA8489323C132411405C9EF3268EA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 s="1"/>
  <c r="Q22" i="1"/>
  <c r="Q23" i="1" s="1"/>
  <c r="R8" i="1"/>
  <c r="S8" i="1" s="1"/>
  <c r="R7" i="1"/>
  <c r="S7" i="1" s="1"/>
  <c r="R6" i="1"/>
  <c r="S6" i="1" s="1"/>
  <c r="R5" i="1"/>
  <c r="S5" i="1" s="1"/>
  <c r="O22" i="1" l="1"/>
  <c r="O23" i="1" s="1"/>
  <c r="B22" i="1" l="1"/>
  <c r="B23" i="1" s="1"/>
  <c r="E22" i="1"/>
  <c r="E23" i="1" s="1"/>
</calcChain>
</file>

<file path=xl/sharedStrings.xml><?xml version="1.0" encoding="utf-8"?>
<sst xmlns="http://schemas.openxmlformats.org/spreadsheetml/2006/main" count="17" uniqueCount="15">
  <si>
    <t>50bar</t>
    <phoneticPr fontId="1" type="noConversion"/>
  </si>
  <si>
    <t>100bar</t>
    <phoneticPr fontId="1" type="noConversion"/>
  </si>
  <si>
    <t>a</t>
    <phoneticPr fontId="1" type="noConversion"/>
  </si>
  <si>
    <t>b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</si>
  <si>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</si>
  <si>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</si>
  <si>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</si>
  <si>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50bar</t>
    <phoneticPr fontId="1" type="noConversion"/>
  </si>
  <si>
    <t>a</t>
    <phoneticPr fontId="1" type="noConversion"/>
  </si>
  <si>
    <t>b</t>
    <phoneticPr fontId="1" type="noConversion"/>
  </si>
  <si>
    <t>로드셀1</t>
    <phoneticPr fontId="1" type="noConversion"/>
  </si>
  <si>
    <t>로드셀2</t>
    <phoneticPr fontId="1" type="noConversion"/>
  </si>
  <si>
    <t>압력센서4</t>
    <phoneticPr fontId="1" type="noConversion"/>
  </si>
  <si>
    <t>압력센서1</t>
    <phoneticPr fontId="1" type="noConversion"/>
  </si>
  <si>
    <t>압력센서5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</si>
</sst>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G2" sqref="G2"/>
    </sheetView>
  </sheetViews>
  <sheetFormatPr defaultRowHeight="16.899999999999999" x14ac:dyDescent="0.6"/>
  <sheetData>
    <row r="1" spans="1:19" x14ac:dyDescent="0.6">
      <c r="A1" t="s">
        <v>12</v>
      </c>
      <c r="D1" t="s">
        <v>13</v>
      </c>
      <c r="G1" t="s">
        <v>14</v>
      </c>
    </row>
    <row r="3" spans="1:19" x14ac:dyDescent="0.6">
      <c r="A3" t="s">
        <v>0</v>
      </c>
      <c r="D3" t="s">
        <v>1</v>
      </c>
      <c r="G3" t="s">
        <v>7</v>
      </c>
      <c r="N3" t="s">
        <v>10</v>
      </c>
    </row>
    <row r="4" spans="1:19" x14ac:dyDescent="0.6">
      <c r="A4">
        <v>0</v>
      </c>
      <c r="B4">
        <v>3.98</v>
      </c>
      <c r="D4">
        <v>0</v>
      </c>
      <c r="E4">
        <v>3.98</v>
      </c>
      <c r="G4">
        <v>0</v>
      </c>
      <c r="H4">
        <v>4.01</v>
      </c>
      <c r="N4">
        <v>0</v>
      </c>
      <c r="O4">
        <v>4</v>
      </c>
    </row>
    <row r="5" spans="1:19" x14ac:dyDescent="0.6">
      <c r="A5">
        <v>2</v>
      </c>
      <c r="B5">
        <v>4.6500000000000004</v>
      </c>
      <c r="D5">
        <v>2</v>
      </c>
      <c r="E5">
        <v>4.3099999999999996</v>
      </c>
      <c r="G5">
        <v>5</v>
      </c>
      <c r="H5">
        <v>5.62</v>
      </c>
      <c r="N5">
        <v>4.6399999999999997</v>
      </c>
      <c r="O5">
        <v>4.72</v>
      </c>
      <c r="Q5">
        <v>4.7200000000000002E-3</v>
      </c>
      <c r="R5">
        <f>6250*Q5-25</f>
        <v>4.5</v>
      </c>
      <c r="S5">
        <f>(N5-R5)/N5</f>
        <v>3.017241379310338E-2</v>
      </c>
    </row>
    <row r="6" spans="1:19" x14ac:dyDescent="0.6">
      <c r="A6">
        <v>4</v>
      </c>
      <c r="B6">
        <v>5.25</v>
      </c>
      <c r="D6">
        <v>4</v>
      </c>
      <c r="E6">
        <v>4.66</v>
      </c>
      <c r="G6">
        <v>10</v>
      </c>
      <c r="H6">
        <v>7.22</v>
      </c>
      <c r="N6">
        <v>9.5</v>
      </c>
      <c r="O6">
        <v>5.47</v>
      </c>
      <c r="Q6">
        <v>5.47E-3</v>
      </c>
      <c r="R6">
        <f>6250*Q6-25</f>
        <v>9.1875</v>
      </c>
      <c r="S6">
        <f>(N6-R6)/N6</f>
        <v>3.2894736842105261E-2</v>
      </c>
    </row>
    <row r="7" spans="1:19" x14ac:dyDescent="0.6">
      <c r="A7">
        <v>6</v>
      </c>
      <c r="B7">
        <v>5.88</v>
      </c>
      <c r="D7">
        <v>6</v>
      </c>
      <c r="E7">
        <v>4.97</v>
      </c>
      <c r="G7">
        <v>20</v>
      </c>
      <c r="H7">
        <v>10.5</v>
      </c>
      <c r="N7">
        <v>15.2</v>
      </c>
      <c r="O7">
        <v>6.36</v>
      </c>
      <c r="Q7">
        <v>6.3600000000000002E-3</v>
      </c>
      <c r="R7">
        <f>6250*Q7-25</f>
        <v>14.75</v>
      </c>
      <c r="S7">
        <f>(N7-R7)/N7</f>
        <v>2.960526315789469E-2</v>
      </c>
    </row>
    <row r="8" spans="1:19" x14ac:dyDescent="0.6">
      <c r="A8">
        <v>8</v>
      </c>
      <c r="B8">
        <v>6.53</v>
      </c>
      <c r="D8">
        <v>8</v>
      </c>
      <c r="E8">
        <v>5.28</v>
      </c>
      <c r="G8">
        <v>30</v>
      </c>
      <c r="H8">
        <v>13.7</v>
      </c>
      <c r="N8">
        <v>19.8</v>
      </c>
      <c r="O8">
        <v>7.07</v>
      </c>
      <c r="Q8">
        <v>7.0699999999999999E-3</v>
      </c>
      <c r="R8">
        <f>6250*Q8-25</f>
        <v>19.1875</v>
      </c>
      <c r="S8">
        <f>(N8-R8)/N8</f>
        <v>3.093434343434347E-2</v>
      </c>
    </row>
    <row r="9" spans="1:19" x14ac:dyDescent="0.6">
      <c r="A9">
        <v>10</v>
      </c>
      <c r="B9">
        <v>7.18</v>
      </c>
      <c r="D9">
        <v>10</v>
      </c>
      <c r="E9">
        <v>5.58</v>
      </c>
    </row>
    <row r="10" spans="1:19" x14ac:dyDescent="0.6">
      <c r="A10">
        <v>15</v>
      </c>
      <c r="B10">
        <v>8.8000000000000007</v>
      </c>
      <c r="D10">
        <v>15</v>
      </c>
      <c r="E10">
        <v>6.36</v>
      </c>
    </row>
    <row r="11" spans="1:19" x14ac:dyDescent="0.6">
      <c r="A11">
        <v>20</v>
      </c>
      <c r="B11">
        <v>10.4</v>
      </c>
      <c r="D11">
        <v>20</v>
      </c>
      <c r="E11">
        <v>7.23</v>
      </c>
    </row>
    <row r="12" spans="1:19" x14ac:dyDescent="0.6">
      <c r="A12">
        <v>30</v>
      </c>
      <c r="B12">
        <v>13.6</v>
      </c>
      <c r="D12">
        <v>30</v>
      </c>
      <c r="E12">
        <v>8.82</v>
      </c>
    </row>
    <row r="13" spans="1:19" x14ac:dyDescent="0.6">
      <c r="A13">
        <v>40</v>
      </c>
      <c r="B13">
        <v>16.8</v>
      </c>
      <c r="D13">
        <v>40</v>
      </c>
      <c r="E13">
        <v>10.5</v>
      </c>
    </row>
    <row r="14" spans="1:19" x14ac:dyDescent="0.6">
      <c r="D14">
        <v>50</v>
      </c>
      <c r="E14">
        <v>12.1</v>
      </c>
    </row>
    <row r="15" spans="1:19" x14ac:dyDescent="0.6">
      <c r="D15">
        <v>60</v>
      </c>
      <c r="E15">
        <v>13.7</v>
      </c>
    </row>
    <row r="16" spans="1:19" x14ac:dyDescent="0.6">
      <c r="D16">
        <v>70</v>
      </c>
      <c r="E16">
        <v>15.3</v>
      </c>
    </row>
    <row r="18" spans="1:17" x14ac:dyDescent="0.6">
      <c r="O18" t="s">
        <v>11</v>
      </c>
      <c r="Q18" t="s">
        <v>10</v>
      </c>
    </row>
    <row r="19" spans="1:17" x14ac:dyDescent="0.6">
      <c r="A19" t="s">
        <v>2</v>
      </c>
      <c r="B19">
        <v>3118.7190799999998</v>
      </c>
      <c r="D19" t="s">
        <v>4</v>
      </c>
      <c r="E19">
        <v>6174.6024200000002</v>
      </c>
      <c r="G19" t="s">
        <v>8</v>
      </c>
      <c r="H19">
        <v>3090.80188</v>
      </c>
      <c r="N19" t="s">
        <v>4</v>
      </c>
      <c r="O19">
        <v>6250</v>
      </c>
      <c r="Q19">
        <v>6446.9486500000003</v>
      </c>
    </row>
    <row r="20" spans="1:17" x14ac:dyDescent="0.6">
      <c r="A20" t="s">
        <v>3</v>
      </c>
      <c r="B20">
        <v>-12.4072</v>
      </c>
      <c r="D20" t="s">
        <v>5</v>
      </c>
      <c r="E20">
        <v>-24.591339999999999</v>
      </c>
      <c r="G20" t="s">
        <v>9</v>
      </c>
      <c r="H20">
        <v>-12.37548</v>
      </c>
      <c r="N20" t="s">
        <v>6</v>
      </c>
      <c r="O20">
        <v>-25</v>
      </c>
      <c r="Q20">
        <v>-25.784939999999999</v>
      </c>
    </row>
    <row r="22" spans="1:17" x14ac:dyDescent="0.6">
      <c r="B22">
        <f>B19*0.02+B20</f>
        <v>49.967181600000004</v>
      </c>
      <c r="E22">
        <f>E19*0.02+E20</f>
        <v>98.900708399999999</v>
      </c>
      <c r="H22">
        <f>H19*0.02+H20</f>
        <v>49.440557600000005</v>
      </c>
      <c r="O22">
        <f>O19*0.02+O20</f>
        <v>100</v>
      </c>
      <c r="Q22">
        <f>0.02*Q19+Q20</f>
        <v>103.154033</v>
      </c>
    </row>
    <row r="23" spans="1:17" x14ac:dyDescent="0.6">
      <c r="B23">
        <f>ABS(B22-50)/50</f>
        <v>6.5636799999992947E-4</v>
      </c>
      <c r="E23">
        <f>ABS(E22-100)/100</f>
        <v>1.0992916000000009E-2</v>
      </c>
      <c r="H23">
        <f>ABS(H22-50)/50</f>
        <v>1.1188847999999894E-2</v>
      </c>
      <c r="O23">
        <f>ABS(O22-100)/100</f>
        <v>0</v>
      </c>
      <c r="Q23">
        <f>ABS(Q22-100)/100</f>
        <v>3.1540329999999984E-2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Jiwoo Youn</cp:lastModifiedBy>
  <dcterms:created xsi:type="dcterms:W3CDTF">2026-05-01T00:50:43Z</dcterms:created>
  <dcterms:modified xsi:type="dcterms:W3CDTF">2026-07-03T16:49:19Z</dcterms:modified>
</cp:coreProperties>
</file>